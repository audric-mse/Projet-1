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dri\Documents\Audric\Ecole\1ere année\Projet 1\Structure\"/>
    </mc:Choice>
  </mc:AlternateContent>
  <xr:revisionPtr revIDLastSave="0" documentId="13_ncr:1_{AEBDF4DA-566C-4180-81FC-BB2115BD870E}" xr6:coauthVersionLast="47" xr6:coauthVersionMax="47" xr10:uidLastSave="{00000000-0000-0000-0000-000000000000}"/>
  <bookViews>
    <workbookView xWindow="-108" yWindow="-108" windowWidth="23256" windowHeight="12456" activeTab="1" xr2:uid="{ABF9CC3D-F386-4D28-BE6A-BD52A1FD02F7}"/>
  </bookViews>
  <sheets>
    <sheet name="BDD(requête sql)" sheetId="6" r:id="rId1"/>
    <sheet name="1" sheetId="9" r:id="rId2"/>
    <sheet name="2" sheetId="11" r:id="rId3"/>
  </sheets>
  <definedNames>
    <definedName name="DonnéesExternes_2" localSheetId="0" hidden="1">'BDD(requête sql)'!$A$1:$G$49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Audric Masse</author>
  </authors>
  <commentList>
    <comment ref="G1" authorId="0" shapeId="0" xr:uid="{04F69264-95A1-4BE2-B295-C3B60BFB4691}">
      <text>
        <r>
          <rPr>
            <b/>
            <sz val="9"/>
            <color indexed="81"/>
            <rFont val="Tahoma"/>
            <charset val="1"/>
          </rPr>
          <t>Une meilleure mesure de sévérité car les rouges non pas le même poids qu'un jaune</t>
        </r>
      </text>
    </comment>
    <comment ref="I1" authorId="0" shapeId="0" xr:uid="{397E525F-9993-403E-B2BA-2F552FC1A2AA}">
      <text>
        <r>
          <rPr>
            <b/>
            <sz val="9"/>
            <color indexed="81"/>
            <rFont val="Tahoma"/>
            <family val="2"/>
          </rPr>
          <t>Si cette indice est &gt;1 : l'arbitre est sévère, &lt;1 si il est permissif, =1 (1 carton par match)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53B255-EEB8-46F6-B439-9A5CD4D4A905}" keepAlive="1" name="Requête - Excel" description="Connexion à la requête « Excel » dans le classeur." type="5" refreshedVersion="0" background="1">
    <dbPr connection="Provider=Microsoft.Mashup.OleDb.1;Data Source=$Workbook$;Location=Excel;Extended Properties=&quot;&quot;" command="SELECT * FROM [Excel]"/>
  </connection>
  <connection id="2" xr16:uid="{49848431-B402-471C-BB38-3F510E1F2B58}" keepAlive="1" name="Requête - Excel (2)" description="Connexion à la requête « Excel (2) » dans le classeur." type="5" refreshedVersion="8" background="1" saveData="1">
    <dbPr connection="Provider=Microsoft.Mashup.OleDb.1;Data Source=$Workbook$;Location=&quot;Excel (2)&quot;;Extended Properties=&quot;&quot;" command="SELECT * FROM [Excel (2)]"/>
  </connection>
</connections>
</file>

<file path=xl/sharedStrings.xml><?xml version="1.0" encoding="utf-8"?>
<sst xmlns="http://schemas.openxmlformats.org/spreadsheetml/2006/main" count="85" uniqueCount="67">
  <si>
    <t>Ravshan Irmatov</t>
  </si>
  <si>
    <t>Michael Oliver</t>
  </si>
  <si>
    <t>Antonio Miguel Mateu Lahoz</t>
  </si>
  <si>
    <t>Sergey Karasev</t>
  </si>
  <si>
    <t>Felix Brych</t>
  </si>
  <si>
    <t>Daniele Orsato</t>
  </si>
  <si>
    <t>Daniel Siebert</t>
  </si>
  <si>
    <t>Slavko Vinčić</t>
  </si>
  <si>
    <t>Mohamed Abdulla Hassan Mohd</t>
  </si>
  <si>
    <t>Mark Geiger</t>
  </si>
  <si>
    <t>Janny Sikazwe</t>
  </si>
  <si>
    <t>Ismail Elfath</t>
  </si>
  <si>
    <t>Gianluca Rocchi</t>
  </si>
  <si>
    <t>Ghead Grisha</t>
  </si>
  <si>
    <t>Fernando Andrés Rapallini</t>
  </si>
  <si>
    <t>Cüneyt Çakιr</t>
  </si>
  <si>
    <t>Andrés Matonte</t>
  </si>
  <si>
    <t>Alireza Faghani</t>
  </si>
  <si>
    <t>Abdulrahman Ibrahim Al Jassim</t>
  </si>
  <si>
    <t>Wilton Pereira Sampaio</t>
  </si>
  <si>
    <t>Victor Miguel de Freitas Gomes</t>
  </si>
  <si>
    <t>Szymon Marciniak</t>
  </si>
  <si>
    <t>Sandro Ricci</t>
  </si>
  <si>
    <t>Raphael Claus</t>
  </si>
  <si>
    <t>Nawaf Abdulla Ghayyath Shukralla</t>
  </si>
  <si>
    <t>Milorad Mažić</t>
  </si>
  <si>
    <t>Mario Alberto Escobar Toca</t>
  </si>
  <si>
    <t>Joel Antonio Aguilar Chicas</t>
  </si>
  <si>
    <t>Enrique Cáceres</t>
  </si>
  <si>
    <t>Danny Desmond Makkelie</t>
  </si>
  <si>
    <t>Chris Beath</t>
  </si>
  <si>
    <t>Andrés Cunha</t>
  </si>
  <si>
    <t>Néstor Fabián Pitana</t>
  </si>
  <si>
    <t>Mustapha Ghorbal</t>
  </si>
  <si>
    <t>Malang Diedhiou</t>
  </si>
  <si>
    <t>Facundo Tello Figueroa</t>
  </si>
  <si>
    <t>Damir Skomina</t>
  </si>
  <si>
    <t>César Arturo Ramos Palazuelos</t>
  </si>
  <si>
    <t>Björn Kuipers</t>
  </si>
  <si>
    <t>Bakary Papa Gassama</t>
  </si>
  <si>
    <t>Anthony Taylor</t>
  </si>
  <si>
    <t>Wilmar Alexander Roldán Pérez</t>
  </si>
  <si>
    <t>Stéphanie Frappart</t>
  </si>
  <si>
    <t>Matthew Conger</t>
  </si>
  <si>
    <t>Jesús Valenzuela Sáez</t>
  </si>
  <si>
    <t>Jair Marrufo</t>
  </si>
  <si>
    <t>Ivan Arcides Barton Cisneros</t>
  </si>
  <si>
    <t>Clément Turpin</t>
  </si>
  <si>
    <t>Nom de l'arbitre</t>
  </si>
  <si>
    <t>Cartons jaunes</t>
  </si>
  <si>
    <t>Cartons rouges</t>
  </si>
  <si>
    <t>Score disciplinaire</t>
  </si>
  <si>
    <t>Étiquettes de lignes</t>
  </si>
  <si>
    <t>Total général</t>
  </si>
  <si>
    <t>Indice de sévérité</t>
  </si>
  <si>
    <t>Nombres de matchs</t>
  </si>
  <si>
    <t>Nombres de cartons distribués</t>
  </si>
  <si>
    <t>Cartons par matchs</t>
  </si>
  <si>
    <t>Somme de Score disciplinaire</t>
  </si>
  <si>
    <t>Moyenne de score disciplinaire</t>
  </si>
  <si>
    <t>Somme de Moyenne de score disciplinaire</t>
  </si>
  <si>
    <t>Quels arbitres sont les plus sévères et lesquels sont les plus permissifs ?</t>
  </si>
  <si>
    <t>Moyenne du score disciplinaire</t>
  </si>
  <si>
    <t>Nombre de Nom de l'arbitre</t>
  </si>
  <si>
    <t>La sévérité des arbitres est-elle homogène ?</t>
  </si>
  <si>
    <t xml:space="preserve"> </t>
  </si>
  <si>
    <t>x²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</si>
</sst>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2" borderId="1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Top 5 des arbitres les</a:t>
            </a:r>
            <a:r>
              <a:rPr lang="fr-FR" baseline="0"/>
              <a:t> plus sévères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'1'!$B$3</c:f>
              <c:strCache>
                <c:ptCount val="1"/>
                <c:pt idx="0">
                  <c:v>Score disciplinaire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'1'!$A$4:$A$8</c:f>
              <c:strCache>
                <c:ptCount val="5"/>
                <c:pt idx="0">
                  <c:v>Ravshan Irmatov</c:v>
                </c:pt>
                <c:pt idx="1">
                  <c:v>Michael Oliver</c:v>
                </c:pt>
                <c:pt idx="2">
                  <c:v>Antonio Miguel Mateu Lahoz</c:v>
                </c:pt>
                <c:pt idx="3">
                  <c:v>Felix Brych</c:v>
                </c:pt>
                <c:pt idx="4">
                  <c:v>Mario Alberto Escobar Toca</c:v>
                </c:pt>
              </c:strCache>
            </c:strRef>
          </c:cat>
          <c:val>
            <c:numRef>
              <c:f>'1'!$B$4:$B$8</c:f>
              <c:numCache>
                <c:formatCode>General</c:formatCode>
                <c:ptCount val="5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7-492D-9D70-B60E74176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343248"/>
        <c:axId val="1106340848"/>
      </c:barChart>
      <c:lineChart>
        <c:grouping val="standard"/>
        <c:varyColors val="0"/>
        <c:ser>
          <c:idx val="1"/>
          <c:order val="1"/>
          <c:tx>
            <c:strRef>
              <c:f>'1'!$C$3</c:f>
              <c:strCache>
                <c:ptCount val="1"/>
                <c:pt idx="0">
                  <c:v>Moyenne du score disciplinaire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'1'!$A$4:$A$8</c:f>
              <c:strCache>
                <c:ptCount val="5"/>
                <c:pt idx="0">
                  <c:v>Ravshan Irmatov</c:v>
                </c:pt>
                <c:pt idx="1">
                  <c:v>Michael Oliver</c:v>
                </c:pt>
                <c:pt idx="2">
                  <c:v>Antonio Miguel Mateu Lahoz</c:v>
                </c:pt>
                <c:pt idx="3">
                  <c:v>Felix Brych</c:v>
                </c:pt>
                <c:pt idx="4">
                  <c:v>Mario Alberto Escobar Toca</c:v>
                </c:pt>
              </c:strCache>
            </c:strRef>
          </c:cat>
          <c:val>
            <c:numRef>
              <c:f>'1'!$C$4:$C$8</c:f>
              <c:numCache>
                <c:formatCode>0.0</c:formatCode>
                <c:ptCount val="5"/>
                <c:pt idx="0">
                  <c:v>3.2083333333333335</c:v>
                </c:pt>
                <c:pt idx="1">
                  <c:v>3.2083333333333335</c:v>
                </c:pt>
                <c:pt idx="2">
                  <c:v>3.2083333333333335</c:v>
                </c:pt>
                <c:pt idx="3">
                  <c:v>3.2083333333333335</c:v>
                </c:pt>
                <c:pt idx="4">
                  <c:v>3.2083333333333335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07-492D-9D70-B60E74176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343248"/>
        <c:axId val="1106340848"/>
      </c:lineChart>
      <c:catAx>
        <c:axId val="1106343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 des</a:t>
                </a:r>
                <a:r>
                  <a:rPr lang="fr-FR" baseline="0"/>
                  <a:t> arbitres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6340848"/>
        <c:crosses val="autoZero"/>
        <c:auto val="1"/>
        <c:lblAlgn val="ctr"/>
        <c:lblOffset val="100"/>
        <c:noMultiLvlLbl val="0"/>
      </c:catAx>
      <c:valAx>
        <c:axId val="110634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Score disciplinaire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634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Top 10 des arbitres les plus permissifs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'1'!$B$32</c:f>
              <c:strCache>
                <c:ptCount val="1"/>
                <c:pt idx="0">
                  <c:v>Somme de Score disciplinaire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'1'!$A$33:$A$42</c:f>
              <c:strCache>
                <c:ptCount val="10"/>
                <c:pt idx="0">
                  <c:v>Ivan Arcides Barton Cisneros</c:v>
                </c:pt>
                <c:pt idx="1">
                  <c:v>Jair Marrufo</c:v>
                </c:pt>
                <c:pt idx="2">
                  <c:v>Jesús Valenzuela Sáez</c:v>
                </c:pt>
                <c:pt idx="3">
                  <c:v>Clément Turpin</c:v>
                </c:pt>
                <c:pt idx="4">
                  <c:v>Wilmar Alexander Roldán Pérez</c:v>
                </c:pt>
                <c:pt idx="5">
                  <c:v>Stéphanie Frappart</c:v>
                </c:pt>
                <c:pt idx="6">
                  <c:v>Matthew Conger</c:v>
                </c:pt>
                <c:pt idx="7">
                  <c:v>Facundo Tello Figueroa</c:v>
                </c:pt>
                <c:pt idx="8">
                  <c:v>César Arturo Ramos Palazuelos</c:v>
                </c:pt>
                <c:pt idx="9">
                  <c:v>Björn Kuipers</c:v>
                </c:pt>
              </c:strCache>
            </c:strRef>
          </c:cat>
          <c:val>
            <c:numRef>
              <c:f>'1'!$B$33:$B$42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7-420C-AFC1-1709FC01E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946624"/>
        <c:axId val="1455947584"/>
      </c:barChart>
      <c:lineChart>
        <c:grouping val="standard"/>
        <c:varyColors val="0"/>
        <c:ser>
          <c:idx val="1"/>
          <c:order val="1"/>
          <c:tx>
            <c:strRef>
              <c:f>'1'!$C$32</c:f>
              <c:strCache>
                <c:ptCount val="1"/>
                <c:pt idx="0">
                  <c:v>Somme de Moyenne de score disciplinaire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'1'!$A$33:$A$42</c:f>
              <c:strCache>
                <c:ptCount val="10"/>
                <c:pt idx="0">
                  <c:v>Ivan Arcides Barton Cisneros</c:v>
                </c:pt>
                <c:pt idx="1">
                  <c:v>Jair Marrufo</c:v>
                </c:pt>
                <c:pt idx="2">
                  <c:v>Jesús Valenzuela Sáez</c:v>
                </c:pt>
                <c:pt idx="3">
                  <c:v>Clément Turpin</c:v>
                </c:pt>
                <c:pt idx="4">
                  <c:v>Wilmar Alexander Roldán Pérez</c:v>
                </c:pt>
                <c:pt idx="5">
                  <c:v>Stéphanie Frappart</c:v>
                </c:pt>
                <c:pt idx="6">
                  <c:v>Matthew Conger</c:v>
                </c:pt>
                <c:pt idx="7">
                  <c:v>Facundo Tello Figueroa</c:v>
                </c:pt>
                <c:pt idx="8">
                  <c:v>César Arturo Ramos Palazuelos</c:v>
                </c:pt>
                <c:pt idx="9">
                  <c:v>Björn Kuipers</c:v>
                </c:pt>
              </c:strCache>
            </c:strRef>
          </c:cat>
          <c:val>
            <c:numRef>
              <c:f>'1'!$C$33:$C$42</c:f>
              <c:numCache>
                <c:formatCode>0.0</c:formatCode>
                <c:ptCount val="10"/>
                <c:pt idx="0">
                  <c:v>3.2083333333333335</c:v>
                </c:pt>
                <c:pt idx="1">
                  <c:v>3.2083333333333335</c:v>
                </c:pt>
                <c:pt idx="2">
                  <c:v>3.2083333333333335</c:v>
                </c:pt>
                <c:pt idx="3">
                  <c:v>3.2083333333333335</c:v>
                </c:pt>
                <c:pt idx="4">
                  <c:v>3.2083333333333335</c:v>
                </c:pt>
                <c:pt idx="5">
                  <c:v>3.2083333333333335</c:v>
                </c:pt>
                <c:pt idx="6">
                  <c:v>3.2083333333333335</c:v>
                </c:pt>
                <c:pt idx="7">
                  <c:v>3.2083333333333335</c:v>
                </c:pt>
                <c:pt idx="8">
                  <c:v>3.2083333333333335</c:v>
                </c:pt>
                <c:pt idx="9">
                  <c:v>3.2083333333333335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E7-420C-AFC1-1709FC01E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5946624"/>
        <c:axId val="1455947584"/>
      </c:lineChart>
      <c:catAx>
        <c:axId val="145594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Nom des arbitres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5947584"/>
        <c:crosses val="autoZero"/>
        <c:auto val="1"/>
        <c:lblAlgn val="ctr"/>
        <c:lblOffset val="100"/>
        <c:noMultiLvlLbl val="0"/>
      </c:catAx>
      <c:valAx>
        <c:axId val="145594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Score disciplinaire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594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[visualisation.xlsx]2!Tableau croisé dynamique10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Répartition de la sévérité arbitrale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'2'!$A$4:$A$11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'2'!$B$4:$B$11</c:f>
              <c:numCache>
                <c:formatCode>General</c:formatCode>
                <c:ptCount val="7"/>
                <c:pt idx="0">
                  <c:v>7</c:v>
                </c:pt>
                <c:pt idx="1">
                  <c:v>8</c:v>
                </c:pt>
                <c:pt idx="2">
                  <c:v>13</c:v>
                </c:pt>
                <c:pt idx="3">
                  <c:v>12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A-4E13-A501-E0D07876B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876992"/>
        <c:axId val="1116877952"/>
      </c:barChart>
      <c:catAx>
        <c:axId val="1116876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Score disciplinaire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877952"/>
        <c:crosses val="autoZero"/>
        <c:auto val="1"/>
        <c:lblAlgn val="ctr"/>
        <c:lblOffset val="100"/>
        <c:noMultiLvlLbl val="0"/>
      </c:catAx>
      <c:valAx>
        <c:axId val="111687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d'arbitres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87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519544</xdr:colOff>
      <xdr:row>1</xdr:row>
      <xdr:rowOff>152399</xdr:rowOff>
    </xdr:from>
    <xdr:to>
      <xdr:col>13</xdr:col>
      <xdr:colOff>623453</xdr:colOff>
      <xdr:row>27</xdr:row>
      <xdr:rowOff>152400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ADE88D2-E444-0EA4-6A1A-28BD293CB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561107</xdr:colOff>
      <xdr:row>28</xdr:row>
      <xdr:rowOff>55417</xdr:rowOff>
    </xdr:from>
    <xdr:to>
      <xdr:col>13</xdr:col>
      <xdr:colOff>623454</xdr:colOff>
      <xdr:row>54</xdr:row>
      <xdr:rowOff>27708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50A66D0-097C-1596-3548-B2BDCF8E2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2</xdr:row>
      <xdr:rowOff>87630</xdr:rowOff>
    </xdr:from>
    <xdr:to>
      <xdr:col>9</xdr:col>
      <xdr:colOff>259080</xdr:colOff>
      <xdr:row>17</xdr:row>
      <xdr:rowOff>87630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5551E40-CD9B-A88F-B184-1E950C7AF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dric Masse" refreshedDate="46022.774048032406" createdVersion="8" refreshedVersion="8" minRefreshableVersion="3" recordCount="48" xr:uid="{8E8B71D5-64B2-48B5-968A-C115B1D146FF}">
  <cacheSource type="worksheet">
    <worksheetSource name="Excel__2"/>
  </cacheSource>
  <cacheFields count="9">
    <cacheField name="Nom de l'arbitre" numFmtId="0">
      <sharedItems count="48">
        <s v="Ravshan Irmatov"/>
        <s v="Michael Oliver"/>
        <s v="Antonio Miguel Mateu Lahoz"/>
        <s v="Sergey Karasev"/>
        <s v="Ismail Elfath"/>
        <s v="Felix Brych"/>
        <s v="Daniele Orsato"/>
        <s v="Daniel Siebert"/>
        <s v="Slavko Vinčić"/>
        <s v="Mohamed Abdulla Hassan Mohd"/>
        <s v="Mark Geiger"/>
        <s v="Mario Alberto Escobar Toca"/>
        <s v="Janny Sikazwe"/>
        <s v="Gianluca Rocchi"/>
        <s v="Ghead Grisha"/>
        <s v="Fernando Andrés Rapallini"/>
        <s v="Cüneyt Çakιr"/>
        <s v="Andrés Matonte"/>
        <s v="Alireza Faghani"/>
        <s v="Abdulrahman Ibrahim Al Jassim"/>
        <s v="Wilton Pereira Sampaio"/>
        <s v="Victor Miguel de Freitas Gomes"/>
        <s v="Szymon Marciniak"/>
        <s v="Sandro Ricci"/>
        <s v="Raphael Claus"/>
        <s v="Nawaf Abdulla Ghayyath Shukralla"/>
        <s v="Milorad Mažić"/>
        <s v="Joel Antonio Aguilar Chicas"/>
        <s v="Facundo Tello Figueroa"/>
        <s v="Enrique Cáceres"/>
        <s v="Danny Desmond Makkelie"/>
        <s v="Damir Skomina"/>
        <s v="Chris Beath"/>
        <s v="Andrés Cunha"/>
        <s v="Néstor Fabián Pitana"/>
        <s v="Mustapha Ghorbal"/>
        <s v="Malang Diedhiou"/>
        <s v="César Arturo Ramos Palazuelos"/>
        <s v="Björn Kuipers"/>
        <s v="Bakary Papa Gassama"/>
        <s v="Anthony Taylor"/>
        <s v="Wilmar Alexander Roldán Pérez"/>
        <s v="Stéphanie Frappart"/>
        <s v="Matthew Conger"/>
        <s v="Jesús Valenzuela Sáez"/>
        <s v="Jair Marrufo"/>
        <s v="Ivan Arcides Barton Cisneros"/>
        <s v="Clément Turpin"/>
      </sharedItems>
    </cacheField>
    <cacheField name="Nombres de matchs" numFmtId="0">
      <sharedItems containsSemiMixedTypes="0" containsString="0" containsNumber="1" containsInteger="1" minValue="1" maxValue="7"/>
    </cacheField>
    <cacheField name="Nombres de cartons distribués" numFmtId="0">
      <sharedItems containsSemiMixedTypes="0" containsString="0" containsNumber="1" containsInteger="1" minValue="1" maxValue="32"/>
    </cacheField>
    <cacheField name="Cartons jaunes" numFmtId="0">
      <sharedItems containsSemiMixedTypes="0" containsString="0" containsNumber="1" containsInteger="1" minValue="1" maxValue="31"/>
    </cacheField>
    <cacheField name="Cartons rouges" numFmtId="0">
      <sharedItems containsSemiMixedTypes="0" containsString="0" containsNumber="1" containsInteger="1" minValue="0" maxValue="2"/>
    </cacheField>
    <cacheField name="Cartons par matchs" numFmtId="0">
      <sharedItems containsSemiMixedTypes="0" containsString="0" containsNumber="1" containsInteger="1" minValue="1" maxValue="7"/>
    </cacheField>
    <cacheField name="Score disciplinaire" numFmtId="0">
      <sharedItems containsSemiMixedTypes="0" containsString="0" containsNumber="1" containsInteger="1" minValue="1" maxValue="7" count="7">
        <n v="7"/>
        <n v="6"/>
        <n v="5"/>
        <n v="4"/>
        <n v="3"/>
        <n v="2"/>
        <n v="1"/>
      </sharedItems>
    </cacheField>
    <cacheField name="Moyenne de score disciplinaire" numFmtId="164">
      <sharedItems containsSemiMixedTypes="0" containsString="0" containsNumber="1" minValue="3.2083333333333335" maxValue="3.2083333333333335"/>
    </cacheField>
    <cacheField name="Indice de sévérité" numFmtId="0">
      <sharedItems containsSemiMixedTypes="0" containsString="0" containsNumber="1" minValue="0.66666666666666663" maxValue="1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2"/>
    <n v="14"/>
    <n v="14"/>
    <n v="0"/>
    <n v="7"/>
    <x v="0"/>
    <n v="3.2083333333333335"/>
    <n v="1"/>
  </r>
  <r>
    <x v="1"/>
    <n v="3"/>
    <n v="18"/>
    <n v="18"/>
    <n v="0"/>
    <n v="6"/>
    <x v="1"/>
    <n v="3.2083333333333335"/>
    <n v="1"/>
  </r>
  <r>
    <x v="2"/>
    <n v="5"/>
    <n v="32"/>
    <n v="31"/>
    <n v="0"/>
    <n v="6"/>
    <x v="1"/>
    <n v="3.2083333333333335"/>
    <n v="1"/>
  </r>
  <r>
    <x v="3"/>
    <n v="1"/>
    <n v="5"/>
    <n v="5"/>
    <n v="0"/>
    <n v="5"/>
    <x v="2"/>
    <n v="3.2083333333333335"/>
    <n v="1"/>
  </r>
  <r>
    <x v="4"/>
    <n v="3"/>
    <n v="15"/>
    <n v="14"/>
    <n v="0"/>
    <n v="5"/>
    <x v="3"/>
    <n v="3.2083333333333335"/>
    <n v="0.8"/>
  </r>
  <r>
    <x v="5"/>
    <n v="1"/>
    <n v="5"/>
    <n v="5"/>
    <n v="0"/>
    <n v="5"/>
    <x v="2"/>
    <n v="3.2083333333333335"/>
    <n v="1"/>
  </r>
  <r>
    <x v="6"/>
    <n v="3"/>
    <n v="15"/>
    <n v="15"/>
    <n v="0"/>
    <n v="5"/>
    <x v="2"/>
    <n v="3.2083333333333335"/>
    <n v="1"/>
  </r>
  <r>
    <x v="7"/>
    <n v="2"/>
    <n v="10"/>
    <n v="10"/>
    <n v="0"/>
    <n v="5"/>
    <x v="2"/>
    <n v="3.2083333333333335"/>
    <n v="1"/>
  </r>
  <r>
    <x v="8"/>
    <n v="2"/>
    <n v="8"/>
    <n v="8"/>
    <n v="0"/>
    <n v="4"/>
    <x v="3"/>
    <n v="3.2083333333333335"/>
    <n v="1"/>
  </r>
  <r>
    <x v="9"/>
    <n v="2"/>
    <n v="8"/>
    <n v="8"/>
    <n v="0"/>
    <n v="4"/>
    <x v="3"/>
    <n v="3.2083333333333335"/>
    <n v="1"/>
  </r>
  <r>
    <x v="10"/>
    <n v="3"/>
    <n v="14"/>
    <n v="14"/>
    <n v="0"/>
    <n v="4"/>
    <x v="3"/>
    <n v="3.2083333333333335"/>
    <n v="1"/>
  </r>
  <r>
    <x v="11"/>
    <n v="1"/>
    <n v="4"/>
    <n v="3"/>
    <n v="1"/>
    <n v="4"/>
    <x v="2"/>
    <n v="3.2083333333333335"/>
    <n v="1.25"/>
  </r>
  <r>
    <x v="12"/>
    <n v="3"/>
    <n v="14"/>
    <n v="14"/>
    <n v="0"/>
    <n v="4"/>
    <x v="3"/>
    <n v="3.2083333333333335"/>
    <n v="1"/>
  </r>
  <r>
    <x v="13"/>
    <n v="3"/>
    <n v="13"/>
    <n v="13"/>
    <n v="0"/>
    <n v="4"/>
    <x v="3"/>
    <n v="3.2083333333333335"/>
    <n v="1"/>
  </r>
  <r>
    <x v="14"/>
    <n v="1"/>
    <n v="4"/>
    <n v="4"/>
    <n v="0"/>
    <n v="4"/>
    <x v="3"/>
    <n v="3.2083333333333335"/>
    <n v="1"/>
  </r>
  <r>
    <x v="15"/>
    <n v="3"/>
    <n v="14"/>
    <n v="14"/>
    <n v="0"/>
    <n v="4"/>
    <x v="3"/>
    <n v="3.2083333333333335"/>
    <n v="1"/>
  </r>
  <r>
    <x v="16"/>
    <n v="3"/>
    <n v="12"/>
    <n v="12"/>
    <n v="0"/>
    <n v="4"/>
    <x v="3"/>
    <n v="3.2083333333333335"/>
    <n v="1"/>
  </r>
  <r>
    <x v="17"/>
    <n v="1"/>
    <n v="4"/>
    <n v="4"/>
    <n v="0"/>
    <n v="4"/>
    <x v="3"/>
    <n v="3.2083333333333335"/>
    <n v="1"/>
  </r>
  <r>
    <x v="18"/>
    <n v="6"/>
    <n v="24"/>
    <n v="24"/>
    <n v="0"/>
    <n v="4"/>
    <x v="3"/>
    <n v="3.2083333333333335"/>
    <n v="1"/>
  </r>
  <r>
    <x v="19"/>
    <n v="2"/>
    <n v="8"/>
    <n v="8"/>
    <n v="0"/>
    <n v="4"/>
    <x v="3"/>
    <n v="3.2083333333333335"/>
    <n v="1"/>
  </r>
  <r>
    <x v="20"/>
    <n v="4"/>
    <n v="14"/>
    <n v="14"/>
    <n v="0"/>
    <n v="3"/>
    <x v="4"/>
    <n v="3.2083333333333335"/>
    <n v="1"/>
  </r>
  <r>
    <x v="21"/>
    <n v="2"/>
    <n v="6"/>
    <n v="6"/>
    <n v="0"/>
    <n v="3"/>
    <x v="4"/>
    <n v="3.2083333333333335"/>
    <n v="1"/>
  </r>
  <r>
    <x v="22"/>
    <n v="5"/>
    <n v="17"/>
    <n v="16"/>
    <n v="0"/>
    <n v="3"/>
    <x v="4"/>
    <n v="3.2083333333333335"/>
    <n v="1"/>
  </r>
  <r>
    <x v="23"/>
    <n v="3"/>
    <n v="9"/>
    <n v="9"/>
    <n v="0"/>
    <n v="3"/>
    <x v="4"/>
    <n v="3.2083333333333335"/>
    <n v="1"/>
  </r>
  <r>
    <x v="24"/>
    <n v="2"/>
    <n v="6"/>
    <n v="6"/>
    <n v="0"/>
    <n v="3"/>
    <x v="4"/>
    <n v="3.2083333333333335"/>
    <n v="1"/>
  </r>
  <r>
    <x v="25"/>
    <n v="2"/>
    <n v="6"/>
    <n v="6"/>
    <n v="0"/>
    <n v="3"/>
    <x v="4"/>
    <n v="3.2083333333333335"/>
    <n v="1"/>
  </r>
  <r>
    <x v="26"/>
    <n v="3"/>
    <n v="9"/>
    <n v="9"/>
    <n v="0"/>
    <n v="3"/>
    <x v="4"/>
    <n v="3.2083333333333335"/>
    <n v="1"/>
  </r>
  <r>
    <x v="27"/>
    <n v="1"/>
    <n v="3"/>
    <n v="3"/>
    <n v="0"/>
    <n v="3"/>
    <x v="4"/>
    <n v="3.2083333333333335"/>
    <n v="1"/>
  </r>
  <r>
    <x v="28"/>
    <n v="3"/>
    <n v="9"/>
    <n v="8"/>
    <n v="0"/>
    <n v="3"/>
    <x v="5"/>
    <n v="3.2083333333333335"/>
    <n v="0.66666666666666663"/>
  </r>
  <r>
    <x v="29"/>
    <n v="2"/>
    <n v="6"/>
    <n v="6"/>
    <n v="0"/>
    <n v="3"/>
    <x v="4"/>
    <n v="3.2083333333333335"/>
    <n v="1"/>
  </r>
  <r>
    <x v="30"/>
    <n v="2"/>
    <n v="6"/>
    <n v="6"/>
    <n v="0"/>
    <n v="3"/>
    <x v="4"/>
    <n v="3.2083333333333335"/>
    <n v="1"/>
  </r>
  <r>
    <x v="31"/>
    <n v="3"/>
    <n v="9"/>
    <n v="7"/>
    <n v="2"/>
    <n v="3"/>
    <x v="4"/>
    <n v="3.2083333333333335"/>
    <n v="1"/>
  </r>
  <r>
    <x v="32"/>
    <n v="1"/>
    <n v="3"/>
    <n v="3"/>
    <n v="0"/>
    <n v="3"/>
    <x v="4"/>
    <n v="3.2083333333333335"/>
    <n v="1"/>
  </r>
  <r>
    <x v="33"/>
    <n v="3"/>
    <n v="11"/>
    <n v="11"/>
    <n v="0"/>
    <n v="3"/>
    <x v="4"/>
    <n v="3.2083333333333335"/>
    <n v="1"/>
  </r>
  <r>
    <x v="34"/>
    <n v="5"/>
    <n v="14"/>
    <n v="14"/>
    <n v="0"/>
    <n v="2"/>
    <x v="5"/>
    <n v="3.2083333333333335"/>
    <n v="1"/>
  </r>
  <r>
    <x v="35"/>
    <n v="2"/>
    <n v="4"/>
    <n v="4"/>
    <n v="0"/>
    <n v="2"/>
    <x v="5"/>
    <n v="3.2083333333333335"/>
    <n v="1"/>
  </r>
  <r>
    <x v="36"/>
    <n v="3"/>
    <n v="8"/>
    <n v="7"/>
    <n v="0"/>
    <n v="2"/>
    <x v="5"/>
    <n v="3.2083333333333335"/>
    <n v="1"/>
  </r>
  <r>
    <x v="37"/>
    <n v="7"/>
    <n v="14"/>
    <n v="14"/>
    <n v="0"/>
    <n v="2"/>
    <x v="5"/>
    <n v="3.2083333333333335"/>
    <n v="1"/>
  </r>
  <r>
    <x v="38"/>
    <n v="4"/>
    <n v="10"/>
    <n v="10"/>
    <n v="0"/>
    <n v="2"/>
    <x v="5"/>
    <n v="3.2083333333333335"/>
    <n v="1"/>
  </r>
  <r>
    <x v="39"/>
    <n v="2"/>
    <n v="4"/>
    <n v="4"/>
    <n v="0"/>
    <n v="2"/>
    <x v="5"/>
    <n v="3.2083333333333335"/>
    <n v="1"/>
  </r>
  <r>
    <x v="40"/>
    <n v="2"/>
    <n v="5"/>
    <n v="5"/>
    <n v="0"/>
    <n v="2"/>
    <x v="5"/>
    <n v="3.2083333333333335"/>
    <n v="1"/>
  </r>
  <r>
    <x v="41"/>
    <n v="2"/>
    <n v="3"/>
    <n v="3"/>
    <n v="0"/>
    <n v="1"/>
    <x v="6"/>
    <n v="3.2083333333333335"/>
    <n v="1"/>
  </r>
  <r>
    <x v="42"/>
    <n v="1"/>
    <n v="1"/>
    <n v="1"/>
    <n v="0"/>
    <n v="1"/>
    <x v="6"/>
    <n v="3.2083333333333335"/>
    <n v="1"/>
  </r>
  <r>
    <x v="43"/>
    <n v="2"/>
    <n v="2"/>
    <n v="2"/>
    <n v="0"/>
    <n v="1"/>
    <x v="6"/>
    <n v="3.2083333333333335"/>
    <n v="1"/>
  </r>
  <r>
    <x v="44"/>
    <n v="2"/>
    <n v="3"/>
    <n v="3"/>
    <n v="0"/>
    <n v="1"/>
    <x v="6"/>
    <n v="3.2083333333333335"/>
    <n v="1"/>
  </r>
  <r>
    <x v="45"/>
    <n v="1"/>
    <n v="1"/>
    <n v="1"/>
    <n v="0"/>
    <n v="1"/>
    <x v="6"/>
    <n v="3.2083333333333335"/>
    <n v="1"/>
  </r>
  <r>
    <x v="46"/>
    <n v="3"/>
    <n v="3"/>
    <n v="3"/>
    <n v="0"/>
    <n v="1"/>
    <x v="6"/>
    <n v="3.2083333333333335"/>
    <n v="1"/>
  </r>
  <r>
    <x v="47"/>
    <n v="5"/>
    <n v="8"/>
    <n v="8"/>
    <n v="0"/>
    <n v="1"/>
    <x v="6"/>
    <n v="3.208333333333333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8EF78-E8FA-43D4-A287-E6F18326AD95}" name="Tableau croisé dynamique10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9">
    <pivotField dataField="1" showAll="0">
      <items count="49">
        <item x="19"/>
        <item x="18"/>
        <item x="33"/>
        <item x="17"/>
        <item x="40"/>
        <item x="2"/>
        <item x="39"/>
        <item x="38"/>
        <item x="37"/>
        <item x="32"/>
        <item x="47"/>
        <item x="16"/>
        <item x="31"/>
        <item x="7"/>
        <item x="6"/>
        <item x="30"/>
        <item x="29"/>
        <item x="28"/>
        <item x="5"/>
        <item x="15"/>
        <item x="14"/>
        <item x="13"/>
        <item x="4"/>
        <item x="46"/>
        <item x="45"/>
        <item x="12"/>
        <item x="44"/>
        <item x="27"/>
        <item x="36"/>
        <item x="11"/>
        <item x="10"/>
        <item x="43"/>
        <item x="1"/>
        <item x="26"/>
        <item x="9"/>
        <item x="35"/>
        <item x="25"/>
        <item x="34"/>
        <item x="24"/>
        <item x="0"/>
        <item x="23"/>
        <item x="3"/>
        <item x="8"/>
        <item x="42"/>
        <item x="22"/>
        <item x="21"/>
        <item x="41"/>
        <item x="2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6"/>
        <item x="5"/>
        <item x="4"/>
        <item x="3"/>
        <item x="2"/>
        <item x="1"/>
        <item x="0"/>
        <item t="default"/>
      </items>
    </pivotField>
    <pivotField numFmtId="164"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ombre de Nom de l'arbitr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D96A3B8E-900C-4A2F-AB72-D6F63731713F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Nom de l'arbitre" tableColumnId="1"/>
      <queryTableField id="2" name="Nombres de matchs" tableColumnId="2"/>
      <queryTableField id="3" name="Nombres de cartons distribués" tableColumnId="3"/>
      <queryTableField id="4" name="Cartons jaunes" tableColumnId="4"/>
      <queryTableField id="5" name="Cartons rouges" tableColumnId="5"/>
      <queryTableField id="6" name="Cartons par matchs" tableColumnId="6"/>
      <queryTableField id="7" name="Score disciplinaire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ED597C-DB70-4698-A482-E31B6C393B2A}" name="Excel__2" displayName="Excel__2" ref="A1:I49" tableType="queryTable" totalsRowShown="0">
  <autoFilter ref="A1:I49" xr:uid="{F5ED597C-DB70-4698-A482-E31B6C393B2A}"/>
  <tableColumns count="9">
    <tableColumn id="1" xr3:uid="{F4FD9F89-E3A1-4246-BA1A-22BB1C1C6303}" uniqueName="1" name="Nom de l'arbitre" queryTableFieldId="1" dataDxfId="3"/>
    <tableColumn id="2" xr3:uid="{F65DEC03-1600-4386-B83C-ABF49F4F1647}" uniqueName="2" name="Nombres de matchs" queryTableFieldId="2"/>
    <tableColumn id="3" xr3:uid="{4FF23ADE-F0DC-4A52-88B9-5876FA5F7E2C}" uniqueName="3" name="Nombres de cartons distribués" queryTableFieldId="3"/>
    <tableColumn id="4" xr3:uid="{1139F33C-4BD3-4680-A7F5-4AE2273BF96F}" uniqueName="4" name="Cartons jaunes" queryTableFieldId="4"/>
    <tableColumn id="5" xr3:uid="{1ED3E8EB-E424-447B-ADF5-1BD869C8E085}" uniqueName="5" name="Cartons rouges" queryTableFieldId="5"/>
    <tableColumn id="6" xr3:uid="{94007F50-222D-4981-93A9-0E057E774C5C}" uniqueName="6" name="Cartons par matchs" queryTableFieldId="6"/>
    <tableColumn id="7" xr3:uid="{C5CB2DAF-A22C-4E6B-A31D-0F0D6EFFF44C}" uniqueName="7" name="Score disciplinaire" queryTableFieldId="7" dataDxfId="2"/>
    <tableColumn id="8" xr3:uid="{D93D9C9E-F2D0-4C89-A740-519DD96C0C1E}" uniqueName="8" name="Moyenne de score disciplinaire" queryTableFieldId="8" dataDxfId="1">
      <calculatedColumnFormula>AVERAGE(G:G)</calculatedColumnFormula>
    </tableColumn>
    <tableColumn id="9" xr3:uid="{08FB980C-8D2C-4270-A401-FC3DB58A013E}" uniqueName="9" name="Indice de sévérité" queryTableFieldId="9" dataDxfId="0">
      <calculatedColumnFormula>Excel__2[[#This Row],[Score disciplinaire]]/Excel__2[[#This Row],[Cartons par matchs]]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A165-2EEF-43AE-A2EF-E066F6EC5DD8}">
  <dimension ref="A1:I49"/>
  <sheetViews>
    <sheetView zoomScale="85" zoomScaleNormal="85" workbookViewId="0">
      <selection activeCell="A2" sqref="A2"/>
    </sheetView>
  </sheetViews>
  <sheetFormatPr baseColWidth="10" defaultRowHeight="14.4"/>
  <cols>
    <col min="1" max="1" width="28.44140625" bestFit="1" customWidth="1"/>
    <col min="2" max="2" width="19.44140625" bestFit="1" customWidth="1"/>
    <col min="3" max="3" width="27.88671875" bestFit="1" customWidth="1"/>
    <col min="4" max="4" width="15.21875" bestFit="1" customWidth="1"/>
    <col min="5" max="5" width="15.33203125" bestFit="1" customWidth="1"/>
    <col min="6" max="6" width="19" bestFit="1" customWidth="1"/>
    <col min="7" max="7" width="19.21875" customWidth="1"/>
    <col min="8" max="8" width="28.5546875" customWidth="1"/>
    <col min="9" max="9" width="18.5546875" customWidth="1"/>
  </cols>
  <sheetData>
    <row r="1" spans="1:9">
      <c r="A1" t="s">
        <v>48</v>
      </c>
      <c r="B1" t="s">
        <v>55</v>
      </c>
      <c r="C1" t="s">
        <v>56</v>
      </c>
      <c r="D1" t="s">
        <v>49</v>
      </c>
      <c r="E1" t="s">
        <v>50</v>
      </c>
      <c r="F1" t="s">
        <v>57</v>
      </c>
      <c r="G1" t="s">
        <v>51</v>
      </c>
      <c r="H1" t="s">
        <v>59</v>
      </c>
      <c r="I1" t="s">
        <v>54</v>
      </c>
    </row>
    <row r="2" spans="1:9">
      <c r="A2" t="s">
        <v>0</v>
      </c>
      <c r="B2">
        <v>2</v>
      </c>
      <c r="C2">
        <v>14</v>
      </c>
      <c r="D2">
        <v>14</v>
      </c>
      <c r="E2">
        <v>0</v>
      </c>
      <c r="F2" s="2">
        <v>7</v>
      </c>
      <c r="G2">
        <v>7</v>
      </c>
      <c r="H2" s="1">
        <f>AVERAGE(G:G)</f>
        <v>3.2083333333333335</v>
      </c>
      <c r="I2">
        <f>Excel__2[[#This Row],[Score disciplinaire]]/Excel__2[[#This Row],[Cartons par matchs]]</f>
        <v>1</v>
      </c>
    </row>
    <row r="3" spans="1:9">
      <c r="A3" t="s">
        <v>1</v>
      </c>
      <c r="B3">
        <v>3</v>
      </c>
      <c r="C3">
        <v>18</v>
      </c>
      <c r="D3">
        <v>18</v>
      </c>
      <c r="E3">
        <v>0</v>
      </c>
      <c r="F3">
        <v>6</v>
      </c>
      <c r="G3">
        <v>6</v>
      </c>
      <c r="H3" s="1">
        <f t="shared" ref="H3:H49" si="0">AVERAGE(G:G)</f>
        <v>3.2083333333333335</v>
      </c>
      <c r="I3">
        <f>Excel__2[[#This Row],[Score disciplinaire]]/Excel__2[[#This Row],[Cartons par matchs]]</f>
        <v>1</v>
      </c>
    </row>
    <row r="4" spans="1:9">
      <c r="A4" t="s">
        <v>2</v>
      </c>
      <c r="B4">
        <v>5</v>
      </c>
      <c r="C4">
        <v>32</v>
      </c>
      <c r="D4">
        <v>31</v>
      </c>
      <c r="E4">
        <v>0</v>
      </c>
      <c r="F4">
        <v>6</v>
      </c>
      <c r="G4">
        <v>6</v>
      </c>
      <c r="H4" s="1">
        <f t="shared" si="0"/>
        <v>3.2083333333333335</v>
      </c>
      <c r="I4">
        <f>Excel__2[[#This Row],[Score disciplinaire]]/Excel__2[[#This Row],[Cartons par matchs]]</f>
        <v>1</v>
      </c>
    </row>
    <row r="5" spans="1:9">
      <c r="A5" t="s">
        <v>3</v>
      </c>
      <c r="B5">
        <v>1</v>
      </c>
      <c r="C5">
        <v>5</v>
      </c>
      <c r="D5">
        <v>5</v>
      </c>
      <c r="E5">
        <v>0</v>
      </c>
      <c r="F5">
        <v>5</v>
      </c>
      <c r="G5">
        <v>5</v>
      </c>
      <c r="H5" s="1">
        <f t="shared" si="0"/>
        <v>3.2083333333333335</v>
      </c>
      <c r="I5">
        <f>Excel__2[[#This Row],[Score disciplinaire]]/Excel__2[[#This Row],[Cartons par matchs]]</f>
        <v>1</v>
      </c>
    </row>
    <row r="6" spans="1:9">
      <c r="A6" t="s">
        <v>11</v>
      </c>
      <c r="B6">
        <v>3</v>
      </c>
      <c r="C6">
        <v>15</v>
      </c>
      <c r="D6">
        <v>14</v>
      </c>
      <c r="E6">
        <v>0</v>
      </c>
      <c r="F6">
        <v>5</v>
      </c>
      <c r="G6">
        <v>4</v>
      </c>
      <c r="H6" s="1">
        <f t="shared" si="0"/>
        <v>3.2083333333333335</v>
      </c>
      <c r="I6">
        <f>Excel__2[[#This Row],[Score disciplinaire]]/Excel__2[[#This Row],[Cartons par matchs]]</f>
        <v>0.8</v>
      </c>
    </row>
    <row r="7" spans="1:9">
      <c r="A7" t="s">
        <v>4</v>
      </c>
      <c r="B7">
        <v>1</v>
      </c>
      <c r="C7">
        <v>5</v>
      </c>
      <c r="D7">
        <v>5</v>
      </c>
      <c r="E7">
        <v>0</v>
      </c>
      <c r="F7">
        <v>5</v>
      </c>
      <c r="G7">
        <v>5</v>
      </c>
      <c r="H7" s="1">
        <f t="shared" si="0"/>
        <v>3.2083333333333335</v>
      </c>
      <c r="I7">
        <f>Excel__2[[#This Row],[Score disciplinaire]]/Excel__2[[#This Row],[Cartons par matchs]]</f>
        <v>1</v>
      </c>
    </row>
    <row r="8" spans="1:9">
      <c r="A8" t="s">
        <v>5</v>
      </c>
      <c r="B8">
        <v>3</v>
      </c>
      <c r="C8">
        <v>15</v>
      </c>
      <c r="D8">
        <v>15</v>
      </c>
      <c r="E8">
        <v>0</v>
      </c>
      <c r="F8">
        <v>5</v>
      </c>
      <c r="G8">
        <v>5</v>
      </c>
      <c r="H8" s="1">
        <f t="shared" si="0"/>
        <v>3.2083333333333335</v>
      </c>
      <c r="I8">
        <f>Excel__2[[#This Row],[Score disciplinaire]]/Excel__2[[#This Row],[Cartons par matchs]]</f>
        <v>1</v>
      </c>
    </row>
    <row r="9" spans="1:9">
      <c r="A9" t="s">
        <v>6</v>
      </c>
      <c r="B9">
        <v>2</v>
      </c>
      <c r="C9">
        <v>10</v>
      </c>
      <c r="D9">
        <v>10</v>
      </c>
      <c r="E9">
        <v>0</v>
      </c>
      <c r="F9">
        <v>5</v>
      </c>
      <c r="G9">
        <v>5</v>
      </c>
      <c r="H9" s="1">
        <f t="shared" si="0"/>
        <v>3.2083333333333335</v>
      </c>
      <c r="I9">
        <f>Excel__2[[#This Row],[Score disciplinaire]]/Excel__2[[#This Row],[Cartons par matchs]]</f>
        <v>1</v>
      </c>
    </row>
    <row r="10" spans="1:9">
      <c r="A10" t="s">
        <v>7</v>
      </c>
      <c r="B10">
        <v>2</v>
      </c>
      <c r="C10">
        <v>8</v>
      </c>
      <c r="D10">
        <v>8</v>
      </c>
      <c r="E10">
        <v>0</v>
      </c>
      <c r="F10">
        <v>4</v>
      </c>
      <c r="G10">
        <v>4</v>
      </c>
      <c r="H10" s="1">
        <f t="shared" si="0"/>
        <v>3.2083333333333335</v>
      </c>
      <c r="I10">
        <f>Excel__2[[#This Row],[Score disciplinaire]]/Excel__2[[#This Row],[Cartons par matchs]]</f>
        <v>1</v>
      </c>
    </row>
    <row r="11" spans="1:9">
      <c r="A11" t="s">
        <v>8</v>
      </c>
      <c r="B11">
        <v>2</v>
      </c>
      <c r="C11">
        <v>8</v>
      </c>
      <c r="D11">
        <v>8</v>
      </c>
      <c r="E11">
        <v>0</v>
      </c>
      <c r="F11">
        <v>4</v>
      </c>
      <c r="G11">
        <v>4</v>
      </c>
      <c r="H11" s="1">
        <f t="shared" si="0"/>
        <v>3.2083333333333335</v>
      </c>
      <c r="I11">
        <f>Excel__2[[#This Row],[Score disciplinaire]]/Excel__2[[#This Row],[Cartons par matchs]]</f>
        <v>1</v>
      </c>
    </row>
    <row r="12" spans="1:9">
      <c r="A12" t="s">
        <v>9</v>
      </c>
      <c r="B12">
        <v>3</v>
      </c>
      <c r="C12">
        <v>14</v>
      </c>
      <c r="D12">
        <v>14</v>
      </c>
      <c r="E12">
        <v>0</v>
      </c>
      <c r="F12">
        <v>4</v>
      </c>
      <c r="G12">
        <v>4</v>
      </c>
      <c r="H12" s="1">
        <f t="shared" si="0"/>
        <v>3.2083333333333335</v>
      </c>
      <c r="I12">
        <f>Excel__2[[#This Row],[Score disciplinaire]]/Excel__2[[#This Row],[Cartons par matchs]]</f>
        <v>1</v>
      </c>
    </row>
    <row r="13" spans="1:9">
      <c r="A13" t="s">
        <v>26</v>
      </c>
      <c r="B13">
        <v>1</v>
      </c>
      <c r="C13">
        <v>4</v>
      </c>
      <c r="D13">
        <v>3</v>
      </c>
      <c r="E13">
        <v>1</v>
      </c>
      <c r="F13">
        <v>4</v>
      </c>
      <c r="G13">
        <v>5</v>
      </c>
      <c r="H13" s="1">
        <f t="shared" si="0"/>
        <v>3.2083333333333335</v>
      </c>
      <c r="I13">
        <f>Excel__2[[#This Row],[Score disciplinaire]]/Excel__2[[#This Row],[Cartons par matchs]]</f>
        <v>1.25</v>
      </c>
    </row>
    <row r="14" spans="1:9">
      <c r="A14" t="s">
        <v>10</v>
      </c>
      <c r="B14">
        <v>3</v>
      </c>
      <c r="C14">
        <v>14</v>
      </c>
      <c r="D14">
        <v>14</v>
      </c>
      <c r="E14">
        <v>0</v>
      </c>
      <c r="F14">
        <v>4</v>
      </c>
      <c r="G14">
        <v>4</v>
      </c>
      <c r="H14" s="1">
        <f t="shared" si="0"/>
        <v>3.2083333333333335</v>
      </c>
      <c r="I14">
        <f>Excel__2[[#This Row],[Score disciplinaire]]/Excel__2[[#This Row],[Cartons par matchs]]</f>
        <v>1</v>
      </c>
    </row>
    <row r="15" spans="1:9">
      <c r="A15" t="s">
        <v>12</v>
      </c>
      <c r="B15">
        <v>3</v>
      </c>
      <c r="C15">
        <v>13</v>
      </c>
      <c r="D15">
        <v>13</v>
      </c>
      <c r="E15">
        <v>0</v>
      </c>
      <c r="F15">
        <v>4</v>
      </c>
      <c r="G15">
        <v>4</v>
      </c>
      <c r="H15" s="1">
        <f t="shared" si="0"/>
        <v>3.2083333333333335</v>
      </c>
      <c r="I15">
        <f>Excel__2[[#This Row],[Score disciplinaire]]/Excel__2[[#This Row],[Cartons par matchs]]</f>
        <v>1</v>
      </c>
    </row>
    <row r="16" spans="1:9">
      <c r="A16" t="s">
        <v>13</v>
      </c>
      <c r="B16">
        <v>1</v>
      </c>
      <c r="C16">
        <v>4</v>
      </c>
      <c r="D16">
        <v>4</v>
      </c>
      <c r="E16">
        <v>0</v>
      </c>
      <c r="F16">
        <v>4</v>
      </c>
      <c r="G16">
        <v>4</v>
      </c>
      <c r="H16" s="1">
        <f t="shared" si="0"/>
        <v>3.2083333333333335</v>
      </c>
      <c r="I16">
        <f>Excel__2[[#This Row],[Score disciplinaire]]/Excel__2[[#This Row],[Cartons par matchs]]</f>
        <v>1</v>
      </c>
    </row>
    <row r="17" spans="1:9">
      <c r="A17" t="s">
        <v>14</v>
      </c>
      <c r="B17">
        <v>3</v>
      </c>
      <c r="C17">
        <v>14</v>
      </c>
      <c r="D17">
        <v>14</v>
      </c>
      <c r="E17">
        <v>0</v>
      </c>
      <c r="F17">
        <v>4</v>
      </c>
      <c r="G17">
        <v>4</v>
      </c>
      <c r="H17" s="1">
        <f t="shared" si="0"/>
        <v>3.2083333333333335</v>
      </c>
      <c r="I17">
        <f>Excel__2[[#This Row],[Score disciplinaire]]/Excel__2[[#This Row],[Cartons par matchs]]</f>
        <v>1</v>
      </c>
    </row>
    <row r="18" spans="1:9">
      <c r="A18" t="s">
        <v>15</v>
      </c>
      <c r="B18">
        <v>3</v>
      </c>
      <c r="C18">
        <v>12</v>
      </c>
      <c r="D18">
        <v>12</v>
      </c>
      <c r="E18">
        <v>0</v>
      </c>
      <c r="F18">
        <v>4</v>
      </c>
      <c r="G18">
        <v>4</v>
      </c>
      <c r="H18" s="1">
        <f t="shared" si="0"/>
        <v>3.2083333333333335</v>
      </c>
      <c r="I18">
        <f>Excel__2[[#This Row],[Score disciplinaire]]/Excel__2[[#This Row],[Cartons par matchs]]</f>
        <v>1</v>
      </c>
    </row>
    <row r="19" spans="1:9">
      <c r="A19" t="s">
        <v>16</v>
      </c>
      <c r="B19">
        <v>1</v>
      </c>
      <c r="C19">
        <v>4</v>
      </c>
      <c r="D19">
        <v>4</v>
      </c>
      <c r="E19">
        <v>0</v>
      </c>
      <c r="F19">
        <v>4</v>
      </c>
      <c r="G19">
        <v>4</v>
      </c>
      <c r="H19" s="1">
        <f t="shared" si="0"/>
        <v>3.2083333333333335</v>
      </c>
      <c r="I19">
        <f>Excel__2[[#This Row],[Score disciplinaire]]/Excel__2[[#This Row],[Cartons par matchs]]</f>
        <v>1</v>
      </c>
    </row>
    <row r="20" spans="1:9">
      <c r="A20" t="s">
        <v>17</v>
      </c>
      <c r="B20">
        <v>6</v>
      </c>
      <c r="C20">
        <v>24</v>
      </c>
      <c r="D20">
        <v>24</v>
      </c>
      <c r="E20">
        <v>0</v>
      </c>
      <c r="F20">
        <v>4</v>
      </c>
      <c r="G20">
        <v>4</v>
      </c>
      <c r="H20" s="1">
        <f t="shared" si="0"/>
        <v>3.2083333333333335</v>
      </c>
      <c r="I20">
        <f>Excel__2[[#This Row],[Score disciplinaire]]/Excel__2[[#This Row],[Cartons par matchs]]</f>
        <v>1</v>
      </c>
    </row>
    <row r="21" spans="1:9">
      <c r="A21" t="s">
        <v>18</v>
      </c>
      <c r="B21">
        <v>2</v>
      </c>
      <c r="C21">
        <v>8</v>
      </c>
      <c r="D21">
        <v>8</v>
      </c>
      <c r="E21">
        <v>0</v>
      </c>
      <c r="F21">
        <v>4</v>
      </c>
      <c r="G21">
        <v>4</v>
      </c>
      <c r="H21" s="1">
        <f t="shared" si="0"/>
        <v>3.2083333333333335</v>
      </c>
      <c r="I21">
        <f>Excel__2[[#This Row],[Score disciplinaire]]/Excel__2[[#This Row],[Cartons par matchs]]</f>
        <v>1</v>
      </c>
    </row>
    <row r="22" spans="1:9">
      <c r="A22" t="s">
        <v>19</v>
      </c>
      <c r="B22">
        <v>4</v>
      </c>
      <c r="C22">
        <v>14</v>
      </c>
      <c r="D22">
        <v>14</v>
      </c>
      <c r="E22">
        <v>0</v>
      </c>
      <c r="F22">
        <v>3</v>
      </c>
      <c r="G22">
        <v>3</v>
      </c>
      <c r="H22" s="1">
        <f t="shared" si="0"/>
        <v>3.2083333333333335</v>
      </c>
      <c r="I22">
        <f>Excel__2[[#This Row],[Score disciplinaire]]/Excel__2[[#This Row],[Cartons par matchs]]</f>
        <v>1</v>
      </c>
    </row>
    <row r="23" spans="1:9">
      <c r="A23" t="s">
        <v>20</v>
      </c>
      <c r="B23">
        <v>2</v>
      </c>
      <c r="C23">
        <v>6</v>
      </c>
      <c r="D23">
        <v>6</v>
      </c>
      <c r="E23">
        <v>0</v>
      </c>
      <c r="F23">
        <v>3</v>
      </c>
      <c r="G23">
        <v>3</v>
      </c>
      <c r="H23" s="1">
        <f t="shared" si="0"/>
        <v>3.2083333333333335</v>
      </c>
      <c r="I23">
        <f>Excel__2[[#This Row],[Score disciplinaire]]/Excel__2[[#This Row],[Cartons par matchs]]</f>
        <v>1</v>
      </c>
    </row>
    <row r="24" spans="1:9">
      <c r="A24" t="s">
        <v>21</v>
      </c>
      <c r="B24">
        <v>5</v>
      </c>
      <c r="C24">
        <v>17</v>
      </c>
      <c r="D24">
        <v>16</v>
      </c>
      <c r="E24">
        <v>0</v>
      </c>
      <c r="F24">
        <v>3</v>
      </c>
      <c r="G24">
        <v>3</v>
      </c>
      <c r="H24" s="1">
        <f t="shared" si="0"/>
        <v>3.2083333333333335</v>
      </c>
      <c r="I24">
        <f>Excel__2[[#This Row],[Score disciplinaire]]/Excel__2[[#This Row],[Cartons par matchs]]</f>
        <v>1</v>
      </c>
    </row>
    <row r="25" spans="1:9">
      <c r="A25" t="s">
        <v>22</v>
      </c>
      <c r="B25">
        <v>3</v>
      </c>
      <c r="C25">
        <v>9</v>
      </c>
      <c r="D25">
        <v>9</v>
      </c>
      <c r="E25">
        <v>0</v>
      </c>
      <c r="F25">
        <v>3</v>
      </c>
      <c r="G25">
        <v>3</v>
      </c>
      <c r="H25" s="1">
        <f t="shared" si="0"/>
        <v>3.2083333333333335</v>
      </c>
      <c r="I25">
        <f>Excel__2[[#This Row],[Score disciplinaire]]/Excel__2[[#This Row],[Cartons par matchs]]</f>
        <v>1</v>
      </c>
    </row>
    <row r="26" spans="1:9">
      <c r="A26" t="s">
        <v>23</v>
      </c>
      <c r="B26">
        <v>2</v>
      </c>
      <c r="C26">
        <v>6</v>
      </c>
      <c r="D26">
        <v>6</v>
      </c>
      <c r="E26">
        <v>0</v>
      </c>
      <c r="F26">
        <v>3</v>
      </c>
      <c r="G26">
        <v>3</v>
      </c>
      <c r="H26" s="1">
        <f t="shared" si="0"/>
        <v>3.2083333333333335</v>
      </c>
      <c r="I26">
        <f>Excel__2[[#This Row],[Score disciplinaire]]/Excel__2[[#This Row],[Cartons par matchs]]</f>
        <v>1</v>
      </c>
    </row>
    <row r="27" spans="1:9">
      <c r="A27" t="s">
        <v>24</v>
      </c>
      <c r="B27">
        <v>2</v>
      </c>
      <c r="C27">
        <v>6</v>
      </c>
      <c r="D27">
        <v>6</v>
      </c>
      <c r="E27">
        <v>0</v>
      </c>
      <c r="F27">
        <v>3</v>
      </c>
      <c r="G27">
        <v>3</v>
      </c>
      <c r="H27" s="1">
        <f t="shared" si="0"/>
        <v>3.2083333333333335</v>
      </c>
      <c r="I27">
        <f>Excel__2[[#This Row],[Score disciplinaire]]/Excel__2[[#This Row],[Cartons par matchs]]</f>
        <v>1</v>
      </c>
    </row>
    <row r="28" spans="1:9">
      <c r="A28" t="s">
        <v>25</v>
      </c>
      <c r="B28">
        <v>3</v>
      </c>
      <c r="C28">
        <v>9</v>
      </c>
      <c r="D28">
        <v>9</v>
      </c>
      <c r="E28">
        <v>0</v>
      </c>
      <c r="F28">
        <v>3</v>
      </c>
      <c r="G28">
        <v>3</v>
      </c>
      <c r="H28" s="1">
        <f t="shared" si="0"/>
        <v>3.2083333333333335</v>
      </c>
      <c r="I28">
        <f>Excel__2[[#This Row],[Score disciplinaire]]/Excel__2[[#This Row],[Cartons par matchs]]</f>
        <v>1</v>
      </c>
    </row>
    <row r="29" spans="1:9">
      <c r="A29" t="s">
        <v>27</v>
      </c>
      <c r="B29">
        <v>1</v>
      </c>
      <c r="C29">
        <v>3</v>
      </c>
      <c r="D29">
        <v>3</v>
      </c>
      <c r="E29">
        <v>0</v>
      </c>
      <c r="F29">
        <v>3</v>
      </c>
      <c r="G29">
        <v>3</v>
      </c>
      <c r="H29" s="1">
        <f t="shared" si="0"/>
        <v>3.2083333333333335</v>
      </c>
      <c r="I29">
        <f>Excel__2[[#This Row],[Score disciplinaire]]/Excel__2[[#This Row],[Cartons par matchs]]</f>
        <v>1</v>
      </c>
    </row>
    <row r="30" spans="1:9">
      <c r="A30" t="s">
        <v>35</v>
      </c>
      <c r="B30">
        <v>3</v>
      </c>
      <c r="C30">
        <v>9</v>
      </c>
      <c r="D30">
        <v>8</v>
      </c>
      <c r="E30">
        <v>0</v>
      </c>
      <c r="F30">
        <v>3</v>
      </c>
      <c r="G30">
        <v>2</v>
      </c>
      <c r="H30" s="1">
        <f t="shared" si="0"/>
        <v>3.2083333333333335</v>
      </c>
      <c r="I30">
        <f>Excel__2[[#This Row],[Score disciplinaire]]/Excel__2[[#This Row],[Cartons par matchs]]</f>
        <v>0.66666666666666663</v>
      </c>
    </row>
    <row r="31" spans="1:9">
      <c r="A31" t="s">
        <v>28</v>
      </c>
      <c r="B31">
        <v>2</v>
      </c>
      <c r="C31">
        <v>6</v>
      </c>
      <c r="D31">
        <v>6</v>
      </c>
      <c r="E31">
        <v>0</v>
      </c>
      <c r="F31">
        <v>3</v>
      </c>
      <c r="G31">
        <v>3</v>
      </c>
      <c r="H31" s="1">
        <f t="shared" si="0"/>
        <v>3.2083333333333335</v>
      </c>
      <c r="I31">
        <f>Excel__2[[#This Row],[Score disciplinaire]]/Excel__2[[#This Row],[Cartons par matchs]]</f>
        <v>1</v>
      </c>
    </row>
    <row r="32" spans="1:9">
      <c r="A32" t="s">
        <v>29</v>
      </c>
      <c r="B32">
        <v>2</v>
      </c>
      <c r="C32">
        <v>6</v>
      </c>
      <c r="D32">
        <v>6</v>
      </c>
      <c r="E32">
        <v>0</v>
      </c>
      <c r="F32">
        <v>3</v>
      </c>
      <c r="G32">
        <v>3</v>
      </c>
      <c r="H32" s="1">
        <f t="shared" si="0"/>
        <v>3.2083333333333335</v>
      </c>
      <c r="I32">
        <f>Excel__2[[#This Row],[Score disciplinaire]]/Excel__2[[#This Row],[Cartons par matchs]]</f>
        <v>1</v>
      </c>
    </row>
    <row r="33" spans="1:9">
      <c r="A33" t="s">
        <v>36</v>
      </c>
      <c r="B33">
        <v>3</v>
      </c>
      <c r="C33">
        <v>9</v>
      </c>
      <c r="D33">
        <v>7</v>
      </c>
      <c r="E33">
        <v>2</v>
      </c>
      <c r="F33">
        <v>3</v>
      </c>
      <c r="G33">
        <v>3</v>
      </c>
      <c r="H33" s="1">
        <f t="shared" si="0"/>
        <v>3.2083333333333335</v>
      </c>
      <c r="I33">
        <f>Excel__2[[#This Row],[Score disciplinaire]]/Excel__2[[#This Row],[Cartons par matchs]]</f>
        <v>1</v>
      </c>
    </row>
    <row r="34" spans="1:9">
      <c r="A34" t="s">
        <v>30</v>
      </c>
      <c r="B34">
        <v>1</v>
      </c>
      <c r="C34">
        <v>3</v>
      </c>
      <c r="D34">
        <v>3</v>
      </c>
      <c r="E34">
        <v>0</v>
      </c>
      <c r="F34">
        <v>3</v>
      </c>
      <c r="G34">
        <v>3</v>
      </c>
      <c r="H34" s="1">
        <f t="shared" si="0"/>
        <v>3.2083333333333335</v>
      </c>
      <c r="I34">
        <f>Excel__2[[#This Row],[Score disciplinaire]]/Excel__2[[#This Row],[Cartons par matchs]]</f>
        <v>1</v>
      </c>
    </row>
    <row r="35" spans="1:9">
      <c r="A35" t="s">
        <v>31</v>
      </c>
      <c r="B35">
        <v>3</v>
      </c>
      <c r="C35">
        <v>11</v>
      </c>
      <c r="D35">
        <v>11</v>
      </c>
      <c r="E35">
        <v>0</v>
      </c>
      <c r="F35">
        <v>3</v>
      </c>
      <c r="G35">
        <v>3</v>
      </c>
      <c r="H35" s="1">
        <f t="shared" si="0"/>
        <v>3.2083333333333335</v>
      </c>
      <c r="I35">
        <f>Excel__2[[#This Row],[Score disciplinaire]]/Excel__2[[#This Row],[Cartons par matchs]]</f>
        <v>1</v>
      </c>
    </row>
    <row r="36" spans="1:9">
      <c r="A36" t="s">
        <v>32</v>
      </c>
      <c r="B36">
        <v>5</v>
      </c>
      <c r="C36">
        <v>14</v>
      </c>
      <c r="D36">
        <v>14</v>
      </c>
      <c r="E36">
        <v>0</v>
      </c>
      <c r="F36">
        <v>2</v>
      </c>
      <c r="G36">
        <v>2</v>
      </c>
      <c r="H36" s="1">
        <f t="shared" si="0"/>
        <v>3.2083333333333335</v>
      </c>
      <c r="I36">
        <f>Excel__2[[#This Row],[Score disciplinaire]]/Excel__2[[#This Row],[Cartons par matchs]]</f>
        <v>1</v>
      </c>
    </row>
    <row r="37" spans="1:9">
      <c r="A37" t="s">
        <v>33</v>
      </c>
      <c r="B37">
        <v>2</v>
      </c>
      <c r="C37">
        <v>4</v>
      </c>
      <c r="D37">
        <v>4</v>
      </c>
      <c r="E37">
        <v>0</v>
      </c>
      <c r="F37">
        <v>2</v>
      </c>
      <c r="G37">
        <v>2</v>
      </c>
      <c r="H37" s="1">
        <f t="shared" si="0"/>
        <v>3.2083333333333335</v>
      </c>
      <c r="I37">
        <f>Excel__2[[#This Row],[Score disciplinaire]]/Excel__2[[#This Row],[Cartons par matchs]]</f>
        <v>1</v>
      </c>
    </row>
    <row r="38" spans="1:9">
      <c r="A38" t="s">
        <v>34</v>
      </c>
      <c r="B38">
        <v>3</v>
      </c>
      <c r="C38">
        <v>8</v>
      </c>
      <c r="D38">
        <v>7</v>
      </c>
      <c r="E38">
        <v>0</v>
      </c>
      <c r="F38">
        <v>2</v>
      </c>
      <c r="G38">
        <v>2</v>
      </c>
      <c r="H38" s="1">
        <f t="shared" si="0"/>
        <v>3.2083333333333335</v>
      </c>
      <c r="I38">
        <f>Excel__2[[#This Row],[Score disciplinaire]]/Excel__2[[#This Row],[Cartons par matchs]]</f>
        <v>1</v>
      </c>
    </row>
    <row r="39" spans="1:9">
      <c r="A39" t="s">
        <v>37</v>
      </c>
      <c r="B39">
        <v>7</v>
      </c>
      <c r="C39">
        <v>14</v>
      </c>
      <c r="D39">
        <v>14</v>
      </c>
      <c r="E39">
        <v>0</v>
      </c>
      <c r="F39">
        <v>2</v>
      </c>
      <c r="G39">
        <v>2</v>
      </c>
      <c r="H39" s="1">
        <f t="shared" si="0"/>
        <v>3.2083333333333335</v>
      </c>
      <c r="I39">
        <f>Excel__2[[#This Row],[Score disciplinaire]]/Excel__2[[#This Row],[Cartons par matchs]]</f>
        <v>1</v>
      </c>
    </row>
    <row r="40" spans="1:9">
      <c r="A40" t="s">
        <v>38</v>
      </c>
      <c r="B40">
        <v>4</v>
      </c>
      <c r="C40">
        <v>10</v>
      </c>
      <c r="D40">
        <v>10</v>
      </c>
      <c r="E40">
        <v>0</v>
      </c>
      <c r="F40">
        <v>2</v>
      </c>
      <c r="G40">
        <v>2</v>
      </c>
      <c r="H40" s="1">
        <f t="shared" si="0"/>
        <v>3.2083333333333335</v>
      </c>
      <c r="I40">
        <f>Excel__2[[#This Row],[Score disciplinaire]]/Excel__2[[#This Row],[Cartons par matchs]]</f>
        <v>1</v>
      </c>
    </row>
    <row r="41" spans="1:9">
      <c r="A41" t="s">
        <v>39</v>
      </c>
      <c r="B41">
        <v>2</v>
      </c>
      <c r="C41">
        <v>4</v>
      </c>
      <c r="D41">
        <v>4</v>
      </c>
      <c r="E41">
        <v>0</v>
      </c>
      <c r="F41">
        <v>2</v>
      </c>
      <c r="G41">
        <v>2</v>
      </c>
      <c r="H41" s="1">
        <f t="shared" si="0"/>
        <v>3.2083333333333335</v>
      </c>
      <c r="I41">
        <f>Excel__2[[#This Row],[Score disciplinaire]]/Excel__2[[#This Row],[Cartons par matchs]]</f>
        <v>1</v>
      </c>
    </row>
    <row r="42" spans="1:9">
      <c r="A42" t="s">
        <v>40</v>
      </c>
      <c r="B42">
        <v>2</v>
      </c>
      <c r="C42">
        <v>5</v>
      </c>
      <c r="D42">
        <v>5</v>
      </c>
      <c r="E42">
        <v>0</v>
      </c>
      <c r="F42">
        <v>2</v>
      </c>
      <c r="G42">
        <v>2</v>
      </c>
      <c r="H42" s="1">
        <f t="shared" si="0"/>
        <v>3.2083333333333335</v>
      </c>
      <c r="I42">
        <f>Excel__2[[#This Row],[Score disciplinaire]]/Excel__2[[#This Row],[Cartons par matchs]]</f>
        <v>1</v>
      </c>
    </row>
    <row r="43" spans="1:9">
      <c r="A43" t="s">
        <v>41</v>
      </c>
      <c r="B43">
        <v>2</v>
      </c>
      <c r="C43">
        <v>3</v>
      </c>
      <c r="D43">
        <v>3</v>
      </c>
      <c r="E43">
        <v>0</v>
      </c>
      <c r="F43">
        <v>1</v>
      </c>
      <c r="G43">
        <v>1</v>
      </c>
      <c r="H43" s="1">
        <f t="shared" si="0"/>
        <v>3.2083333333333335</v>
      </c>
      <c r="I43">
        <f>Excel__2[[#This Row],[Score disciplinaire]]/Excel__2[[#This Row],[Cartons par matchs]]</f>
        <v>1</v>
      </c>
    </row>
    <row r="44" spans="1:9">
      <c r="A44" t="s">
        <v>42</v>
      </c>
      <c r="B44">
        <v>1</v>
      </c>
      <c r="C44">
        <v>1</v>
      </c>
      <c r="D44">
        <v>1</v>
      </c>
      <c r="E44">
        <v>0</v>
      </c>
      <c r="F44">
        <v>1</v>
      </c>
      <c r="G44">
        <v>1</v>
      </c>
      <c r="H44" s="1">
        <f t="shared" si="0"/>
        <v>3.2083333333333335</v>
      </c>
      <c r="I44">
        <f>Excel__2[[#This Row],[Score disciplinaire]]/Excel__2[[#This Row],[Cartons par matchs]]</f>
        <v>1</v>
      </c>
    </row>
    <row r="45" spans="1:9">
      <c r="A45" t="s">
        <v>43</v>
      </c>
      <c r="B45">
        <v>2</v>
      </c>
      <c r="C45">
        <v>2</v>
      </c>
      <c r="D45">
        <v>2</v>
      </c>
      <c r="E45">
        <v>0</v>
      </c>
      <c r="F45">
        <v>1</v>
      </c>
      <c r="G45">
        <v>1</v>
      </c>
      <c r="H45" s="1">
        <f t="shared" si="0"/>
        <v>3.2083333333333335</v>
      </c>
      <c r="I45">
        <f>Excel__2[[#This Row],[Score disciplinaire]]/Excel__2[[#This Row],[Cartons par matchs]]</f>
        <v>1</v>
      </c>
    </row>
    <row r="46" spans="1:9">
      <c r="A46" t="s">
        <v>44</v>
      </c>
      <c r="B46">
        <v>2</v>
      </c>
      <c r="C46">
        <v>3</v>
      </c>
      <c r="D46">
        <v>3</v>
      </c>
      <c r="E46">
        <v>0</v>
      </c>
      <c r="F46">
        <v>1</v>
      </c>
      <c r="G46">
        <v>1</v>
      </c>
      <c r="H46" s="1">
        <f t="shared" si="0"/>
        <v>3.2083333333333335</v>
      </c>
      <c r="I46">
        <f>Excel__2[[#This Row],[Score disciplinaire]]/Excel__2[[#This Row],[Cartons par matchs]]</f>
        <v>1</v>
      </c>
    </row>
    <row r="47" spans="1:9">
      <c r="A47" t="s">
        <v>45</v>
      </c>
      <c r="B47">
        <v>1</v>
      </c>
      <c r="C47">
        <v>1</v>
      </c>
      <c r="D47">
        <v>1</v>
      </c>
      <c r="E47">
        <v>0</v>
      </c>
      <c r="F47">
        <v>1</v>
      </c>
      <c r="G47">
        <v>1</v>
      </c>
      <c r="H47" s="1">
        <f t="shared" si="0"/>
        <v>3.2083333333333335</v>
      </c>
      <c r="I47">
        <f>Excel__2[[#This Row],[Score disciplinaire]]/Excel__2[[#This Row],[Cartons par matchs]]</f>
        <v>1</v>
      </c>
    </row>
    <row r="48" spans="1:9">
      <c r="A48" t="s">
        <v>46</v>
      </c>
      <c r="B48">
        <v>3</v>
      </c>
      <c r="C48">
        <v>3</v>
      </c>
      <c r="D48">
        <v>3</v>
      </c>
      <c r="E48">
        <v>0</v>
      </c>
      <c r="F48">
        <v>1</v>
      </c>
      <c r="G48">
        <v>1</v>
      </c>
      <c r="H48" s="1">
        <f t="shared" si="0"/>
        <v>3.2083333333333335</v>
      </c>
      <c r="I48">
        <f>Excel__2[[#This Row],[Score disciplinaire]]/Excel__2[[#This Row],[Cartons par matchs]]</f>
        <v>1</v>
      </c>
    </row>
    <row r="49" spans="1:9">
      <c r="A49" t="s">
        <v>47</v>
      </c>
      <c r="B49">
        <v>5</v>
      </c>
      <c r="C49">
        <v>8</v>
      </c>
      <c r="D49">
        <v>8</v>
      </c>
      <c r="E49">
        <v>0</v>
      </c>
      <c r="F49">
        <v>1</v>
      </c>
      <c r="G49">
        <v>1</v>
      </c>
      <c r="H49" s="1">
        <f t="shared" si="0"/>
        <v>3.2083333333333335</v>
      </c>
      <c r="I49">
        <f>Excel__2[[#This Row],[Score disciplinaire]]/Excel__2[[#This Row],[Cartons par matchs]]</f>
        <v>1</v>
      </c>
    </row>
  </sheetData>
  <phoneticPr fontId="2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1E6F-2CA0-43E0-9C42-2D74F6C1DED5}">
  <dimension ref="A1:P42"/>
  <sheetViews>
    <sheetView tabSelected="1" zoomScale="55" zoomScaleNormal="55" workbookViewId="0">
      <selection activeCell="A36" sqref="A36"/>
    </sheetView>
  </sheetViews>
  <sheetFormatPr baseColWidth="10" defaultRowHeight="14.4"/>
  <cols>
    <col min="1" max="1" width="35.109375" bestFit="1" customWidth="1"/>
    <col min="2" max="2" width="31.6640625" bestFit="1" customWidth="1"/>
    <col min="3" max="3" width="44.33203125" bestFit="1" customWidth="1"/>
  </cols>
  <sheetData>
    <row r="1" spans="1:16">
      <c r="A1" s="6" t="s">
        <v>61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3" spans="1:16">
      <c r="A3" s="5" t="s">
        <v>48</v>
      </c>
      <c r="B3" s="5" t="s">
        <v>51</v>
      </c>
      <c r="C3" s="5" t="s">
        <v>62</v>
      </c>
    </row>
    <row r="4" spans="1:16">
      <c r="A4" s="4" t="s">
        <v>0</v>
      </c>
      <c r="B4">
        <v>7</v>
      </c>
      <c r="C4" s="1">
        <v>3.2083333333333335</v>
      </c>
    </row>
    <row r="5" spans="1:16">
      <c r="A5" s="4" t="s">
        <v>1</v>
      </c>
      <c r="B5">
        <v>6</v>
      </c>
      <c r="C5" s="1">
        <v>3.2083333333333335</v>
      </c>
    </row>
    <row r="6" spans="1:16">
      <c r="A6" s="4" t="s">
        <v>2</v>
      </c>
      <c r="B6">
        <v>6</v>
      </c>
      <c r="C6" s="1">
        <v>3.2083333333333335</v>
      </c>
    </row>
    <row r="7" spans="1:16">
      <c r="A7" s="4" t="s">
        <v>4</v>
      </c>
      <c r="B7">
        <v>5</v>
      </c>
      <c r="C7" s="1">
        <v>3.2083333333333335</v>
      </c>
    </row>
    <row r="8" spans="1:16">
      <c r="A8" s="4" t="s">
        <v>26</v>
      </c>
      <c r="B8">
        <v>5</v>
      </c>
      <c r="C8" s="1">
        <v>3.2083333333333335</v>
      </c>
    </row>
    <row r="20" spans="1:3">
      <c r="C20" t="s">
        <v>66</v>
      </c>
    </row>
    <row r="32" spans="1:3">
      <c r="A32" s="5" t="s">
        <v>52</v>
      </c>
      <c r="B32" s="5" t="s">
        <v>58</v>
      </c>
      <c r="C32" s="5" t="s">
        <v>60</v>
      </c>
    </row>
    <row r="33" spans="1:3">
      <c r="A33" s="4" t="s">
        <v>46</v>
      </c>
      <c r="B33">
        <v>1</v>
      </c>
      <c r="C33" s="1">
        <v>3.2083333333333335</v>
      </c>
    </row>
    <row r="34" spans="1:3">
      <c r="A34" s="4" t="s">
        <v>45</v>
      </c>
      <c r="B34">
        <v>1</v>
      </c>
      <c r="C34" s="1">
        <v>3.2083333333333335</v>
      </c>
    </row>
    <row r="35" spans="1:3">
      <c r="A35" s="4" t="s">
        <v>44</v>
      </c>
      <c r="B35">
        <v>1</v>
      </c>
      <c r="C35" s="1">
        <v>3.2083333333333335</v>
      </c>
    </row>
    <row r="36" spans="1:3">
      <c r="A36" s="4" t="s">
        <v>47</v>
      </c>
      <c r="B36">
        <v>1</v>
      </c>
      <c r="C36" s="1">
        <v>3.2083333333333335</v>
      </c>
    </row>
    <row r="37" spans="1:3">
      <c r="A37" s="4" t="s">
        <v>41</v>
      </c>
      <c r="B37">
        <v>1</v>
      </c>
      <c r="C37" s="1">
        <v>3.2083333333333335</v>
      </c>
    </row>
    <row r="38" spans="1:3">
      <c r="A38" s="4" t="s">
        <v>42</v>
      </c>
      <c r="B38">
        <v>1</v>
      </c>
      <c r="C38" s="1">
        <v>3.2083333333333335</v>
      </c>
    </row>
    <row r="39" spans="1:3">
      <c r="A39" s="4" t="s">
        <v>43</v>
      </c>
      <c r="B39">
        <v>1</v>
      </c>
      <c r="C39" s="1">
        <v>3.2083333333333335</v>
      </c>
    </row>
    <row r="40" spans="1:3">
      <c r="A40" s="4" t="s">
        <v>35</v>
      </c>
      <c r="B40">
        <v>2</v>
      </c>
      <c r="C40" s="1">
        <v>3.2083333333333335</v>
      </c>
    </row>
    <row r="41" spans="1:3">
      <c r="A41" s="4" t="s">
        <v>37</v>
      </c>
      <c r="B41">
        <v>2</v>
      </c>
      <c r="C41" s="1">
        <v>3.2083333333333335</v>
      </c>
    </row>
    <row r="42" spans="1:3">
      <c r="A42" s="4" t="s">
        <v>38</v>
      </c>
      <c r="B42">
        <v>2</v>
      </c>
      <c r="C42" s="1">
        <v>3.2083333333333335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1D2A-6E37-4228-B008-93EAD4B0FCC6}">
  <dimension ref="A1:K14"/>
  <sheetViews>
    <sheetView workbookViewId="0">
      <selection activeCell="D4" sqref="D4"/>
    </sheetView>
  </sheetViews>
  <sheetFormatPr baseColWidth="10" defaultRowHeight="14.4"/>
  <cols>
    <col min="1" max="1" width="19.5546875" bestFit="1" customWidth="1"/>
    <col min="2" max="2" width="24.21875" bestFit="1" customWidth="1"/>
  </cols>
  <sheetData>
    <row r="1" spans="1:11">
      <c r="A1" s="6" t="s">
        <v>64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11">
      <c r="A3" s="3" t="s">
        <v>52</v>
      </c>
      <c r="B3" t="s">
        <v>63</v>
      </c>
    </row>
    <row r="4" spans="1:11">
      <c r="A4" s="4">
        <v>1</v>
      </c>
      <c r="B4">
        <v>7</v>
      </c>
    </row>
    <row r="5" spans="1:11">
      <c r="A5" s="4">
        <v>2</v>
      </c>
      <c r="B5">
        <v>8</v>
      </c>
    </row>
    <row r="6" spans="1:11">
      <c r="A6" s="4">
        <v>3</v>
      </c>
      <c r="B6">
        <v>13</v>
      </c>
    </row>
    <row r="7" spans="1:11">
      <c r="A7" s="4">
        <v>4</v>
      </c>
      <c r="B7">
        <v>12</v>
      </c>
    </row>
    <row r="8" spans="1:11">
      <c r="A8" s="4">
        <v>5</v>
      </c>
      <c r="B8">
        <v>5</v>
      </c>
    </row>
    <row r="9" spans="1:11">
      <c r="A9" s="4">
        <v>6</v>
      </c>
      <c r="B9">
        <v>2</v>
      </c>
    </row>
    <row r="10" spans="1:11">
      <c r="A10" s="4">
        <v>7</v>
      </c>
      <c r="B10">
        <v>1</v>
      </c>
    </row>
    <row r="11" spans="1:11">
      <c r="A11" s="4" t="s">
        <v>53</v>
      </c>
      <c r="B11">
        <v>48</v>
      </c>
    </row>
    <row r="14" spans="1:11">
      <c r="B14" t="s">
        <v>65</v>
      </c>
    </row>
  </sheetData>
  <mergeCells count="1">
    <mergeCell ref="A1:K1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DFCC2F-2D4B-4BEA-B48B-3500D558EB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BDD(requête sql)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Audric Masse</dc:creator>
  <cp:lastModifiedBy>Audric Masse</cp:lastModifiedBy>
  <dcterms:created xsi:type="dcterms:W3CDTF">2025-12-29T12:14:36Z</dcterms:created>
  <dcterms:modified xsi:type="dcterms:W3CDTF">2026-01-07T18:51:21Z</dcterms:modified>
</cp:coreProperties>
</file>